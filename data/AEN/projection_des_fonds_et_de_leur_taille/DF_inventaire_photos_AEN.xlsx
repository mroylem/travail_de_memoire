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Stage\Projection des fonds et de leur taille\"/>
    </mc:Choice>
  </mc:AlternateContent>
  <xr:revisionPtr revIDLastSave="0" documentId="13_ncr:1_{2DF8B41F-BC14-4A9B-B1FB-F309A95FE4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1" l="1"/>
  <c r="M47" i="1"/>
  <c r="L47" i="1" l="1"/>
  <c r="K47" i="1"/>
  <c r="J47" i="1"/>
  <c r="I47" i="1"/>
</calcChain>
</file>

<file path=xl/sharedStrings.xml><?xml version="1.0" encoding="utf-8"?>
<sst xmlns="http://schemas.openxmlformats.org/spreadsheetml/2006/main" count="278" uniqueCount="156">
  <si>
    <t>noir et blanc</t>
  </si>
  <si>
    <t>9</t>
  </si>
  <si>
    <t>400</t>
  </si>
  <si>
    <t>Portrait, Police</t>
  </si>
  <si>
    <t>carte de visite, format classique</t>
  </si>
  <si>
    <t>noir et blanc, sepia</t>
  </si>
  <si>
    <t>format classique</t>
  </si>
  <si>
    <t xml:space="preserve">format classique, petit format </t>
  </si>
  <si>
    <t>grand format</t>
  </si>
  <si>
    <t>grand format, petit format, format classique</t>
  </si>
  <si>
    <t>petit format, format classique</t>
  </si>
  <si>
    <t>grand format, format classique</t>
  </si>
  <si>
    <t>petit format</t>
  </si>
  <si>
    <t xml:space="preserve">noir et blanc, sepia </t>
  </si>
  <si>
    <t>format classique, grand format, petit format</t>
  </si>
  <si>
    <t>Hopital, Portrait, Groupe, Enfants</t>
  </si>
  <si>
    <t>Portrait</t>
  </si>
  <si>
    <t>Portrait, Groupe</t>
  </si>
  <si>
    <t>Animaux</t>
  </si>
  <si>
    <t>Paysage, Bâtiment, Portrait</t>
  </si>
  <si>
    <t>Reproduction</t>
  </si>
  <si>
    <t>format</t>
  </si>
  <si>
    <t>colorimetrie</t>
  </si>
  <si>
    <t>date_min</t>
  </si>
  <si>
    <t>date_max</t>
  </si>
  <si>
    <t>sujet</t>
  </si>
  <si>
    <t>nbre_photographie</t>
  </si>
  <si>
    <t>nbre_plaque_de_verre</t>
  </si>
  <si>
    <t>nbre_negatif</t>
  </si>
  <si>
    <t>nbre_carte_postale</t>
  </si>
  <si>
    <t>nbre_daguerrotype</t>
  </si>
  <si>
    <t>nbre_planches_contact</t>
  </si>
  <si>
    <t>nbre_diapositive</t>
  </si>
  <si>
    <t>Groupe, Portrait</t>
  </si>
  <si>
    <t xml:space="preserve">Groupe, Célébration, Voyage, Paysage </t>
  </si>
  <si>
    <t>Paysage, Paysage urbain, Portrait, Industrie, Bâtiment, Port, Lac</t>
  </si>
  <si>
    <t xml:space="preserve"> Paysage, Lac, Bâtiment, Outil, Objet du quotidien, Célébration, Groupe, Portrait, Egypte</t>
  </si>
  <si>
    <t>Portrait, Egypte, Archéologie</t>
  </si>
  <si>
    <t>Pont, Bâtiment, Industrie, Voyage, Groupe, Avion, Voiture, Enfant, Soldat,</t>
  </si>
  <si>
    <t>Groupe, Paysage, Portrait, Administration publique, Bâtiment, Paysage urbain</t>
  </si>
  <si>
    <t>Paysage, Portrait, Groupe, Objet du quotidien, Japon, Inde, Voyage</t>
  </si>
  <si>
    <t>Paysage, Portrait</t>
  </si>
  <si>
    <t>Bâtiment, Groupe, Soldat, Paysage, Portrait</t>
  </si>
  <si>
    <t>Portrait, Soldat, Groupe</t>
  </si>
  <si>
    <t>Portrait, Paysage, Bâtiment</t>
  </si>
  <si>
    <t>Célébration, Portrait, Groupe</t>
  </si>
  <si>
    <t>Bâtiment</t>
  </si>
  <si>
    <t>Objet industriel, Objet du quotidien, Ouvrier</t>
  </si>
  <si>
    <t>Groupe, Monument, Soldat</t>
  </si>
  <si>
    <t>Bâtiment, Paysage urbain</t>
  </si>
  <si>
    <t>Paysage, Paysage urbain, Ouvrier</t>
  </si>
  <si>
    <t>Paysage, Portrait, Ouvrier, Industrie, Célébration, Groupe</t>
  </si>
  <si>
    <t>Soldat, Célébration, Industrie, Ouvrier, Usine, Objet du quotidien, Bâtiment, Animaux, Voiture</t>
  </si>
  <si>
    <t>Groupe, Paysage, Portrait, Paysage urbain, Bâtiment, Célébration</t>
  </si>
  <si>
    <t>Industrie, Horlogerie, Bâtiment, Objet industriel</t>
  </si>
  <si>
    <t>AEN collection photographique</t>
  </si>
  <si>
    <t>Notes courvoisier</t>
  </si>
  <si>
    <t>Préfargier</t>
  </si>
  <si>
    <t>Brutsch</t>
  </si>
  <si>
    <t>Rougemont</t>
  </si>
  <si>
    <t>Gustave Jequier</t>
  </si>
  <si>
    <t>Coulon</t>
  </si>
  <si>
    <t>Université</t>
  </si>
  <si>
    <t>Terrisse</t>
  </si>
  <si>
    <t>Zofingue</t>
  </si>
  <si>
    <t>Sicodor</t>
  </si>
  <si>
    <t>Grellet</t>
  </si>
  <si>
    <t>Argand</t>
  </si>
  <si>
    <t>Chancellerie</t>
  </si>
  <si>
    <t>MauriceTripet</t>
  </si>
  <si>
    <t>Dubied</t>
  </si>
  <si>
    <t>Addiction Neuchâtel</t>
  </si>
  <si>
    <t>Clottu Cornaux</t>
  </si>
  <si>
    <t>Meuron Pierre</t>
  </si>
  <si>
    <t>Daniel Courvoisier</t>
  </si>
  <si>
    <t>Nos oiseaux</t>
  </si>
  <si>
    <t>Police Forensique</t>
  </si>
  <si>
    <t>Guillaume Ritter</t>
  </si>
  <si>
    <t>Anna Bonnet</t>
  </si>
  <si>
    <t>Dubied VDT</t>
  </si>
  <si>
    <t>fonds</t>
  </si>
  <si>
    <t>couleurs</t>
  </si>
  <si>
    <t>noir et blanc, couleurs</t>
  </si>
  <si>
    <t>negatif</t>
  </si>
  <si>
    <t>noir et blanc, sepia, couleurs</t>
  </si>
  <si>
    <t>Cercle national</t>
  </si>
  <si>
    <t>Baillod Muller</t>
  </si>
  <si>
    <t>Département de police</t>
  </si>
  <si>
    <t>Portrait, , Maroc, Paysage</t>
  </si>
  <si>
    <t>Soldat, , Voiture, Bâtiment, Célébration, Voyage, Groupe, Portrait</t>
  </si>
  <si>
    <t xml:space="preserve">Portrait, Paysage, Groupe, Afrique centrale, </t>
  </si>
  <si>
    <t>Portrait, , Bâtiment, Décoration</t>
  </si>
  <si>
    <t xml:space="preserve">Portrait, , Paysage, Voyage, Afrique, Bâtiment </t>
  </si>
  <si>
    <t xml:space="preserve"> Borel</t>
  </si>
  <si>
    <t xml:space="preserve">Groupe, Portrait, </t>
  </si>
  <si>
    <t xml:space="preserve"> Courvoisier</t>
  </si>
  <si>
    <t xml:space="preserve"> Houriet</t>
  </si>
  <si>
    <t xml:space="preserve"> Favarger</t>
  </si>
  <si>
    <t xml:space="preserve">Paysage, Portrait, Groupe, Enfant, </t>
  </si>
  <si>
    <t xml:space="preserve">Bâtiment, Cathédrale, Portrait, Objet du quotidien, </t>
  </si>
  <si>
    <t>Groupe, Portrait, , Enfants</t>
  </si>
  <si>
    <t>type_fonds</t>
  </si>
  <si>
    <t>Public</t>
  </si>
  <si>
    <t>Elise Kiener</t>
  </si>
  <si>
    <t>Louis Agassiz</t>
  </si>
  <si>
    <t>Privé</t>
  </si>
  <si>
    <t>permalien</t>
  </si>
  <si>
    <t>https://floraweb.ne.ch/flora/ark:/37964/001225851</t>
  </si>
  <si>
    <t>https://floraweb.ne.ch/flora/ark:/37964/001269821</t>
  </si>
  <si>
    <t>https://floraweb.ne.ch/flora/ark:/37964/001101200</t>
  </si>
  <si>
    <t>https://floraweb.ne.ch/flora/ark:/37964/001303</t>
  </si>
  <si>
    <t>https://floraweb.ne.ch/flora/ark:/37964/001296996</t>
  </si>
  <si>
    <t>https://floraweb.ne.ch/flora/ark:/37964/001286</t>
  </si>
  <si>
    <t>https://floraweb.ne.ch/flora/ark:/37964/001241</t>
  </si>
  <si>
    <t>https://floraweb.ne.ch/flora/ark:/37964/00155</t>
  </si>
  <si>
    <t>https://floraweb.ne.ch/flora/ark:/37964/001287386</t>
  </si>
  <si>
    <t>https://floraweb.ne.ch/flora/ark:/37964/001252042</t>
  </si>
  <si>
    <t>https://floraweb.ne.ch/flora/ark:/37964/001112</t>
  </si>
  <si>
    <t>https://floraweb.ne.ch/flora/ark:/37964/001113</t>
  </si>
  <si>
    <t>https://floraweb.ne.ch/flora/ark:/37964/001297246</t>
  </si>
  <si>
    <t>https://floraweb.ne.ch/flora/ark:/37964/001114</t>
  </si>
  <si>
    <t>https://floraweb.ne.ch/flora/ark:/37964/001134</t>
  </si>
  <si>
    <t>https://floraweb.ne.ch/flora/ark:/37964/001315912</t>
  </si>
  <si>
    <t>https://floraweb.ne.ch/flora/ark:/37964/001212</t>
  </si>
  <si>
    <t>https://floraweb.ne.ch/flora/ark:/37964/001273037</t>
  </si>
  <si>
    <t>https://floraweb.ne.ch/flora/ark:/37964/001101961</t>
  </si>
  <si>
    <t>https://floraweb.ne.ch/flora/ark:/37964/001152</t>
  </si>
  <si>
    <t>https://floraweb.ne.ch/flora/ark:/37964/001272677</t>
  </si>
  <si>
    <t>https://floraweb.ne.ch/flora/ark:/37964/001284773</t>
  </si>
  <si>
    <t>https://floraweb.ne.ch/flora/ark:/37964/001230</t>
  </si>
  <si>
    <t>https://floraweb.ne.ch/flora/ark:/37964/00175</t>
  </si>
  <si>
    <t>https://floraweb.ne.ch/flora/ark:/37964/001714497</t>
  </si>
  <si>
    <t>Bâtiment, Angleterre, Monument</t>
  </si>
  <si>
    <t>https://floraweb.ne.ch/flora/ark:/37964/001200</t>
  </si>
  <si>
    <t>https://floraweb.ne.ch/flora/ark:/37964/001144</t>
  </si>
  <si>
    <t>https://floraweb.ne.ch/flora/ark:/37964/001554</t>
  </si>
  <si>
    <t>https://floraweb.ne.ch/flora/ark:/37964/001165</t>
  </si>
  <si>
    <t>https://floraweb.ne.ch/flora/ark:/37964/001281570</t>
  </si>
  <si>
    <t>Administration publique, Célébration, Soldat, Bâtiment</t>
  </si>
  <si>
    <t>https://www.archivesne.ch/</t>
  </si>
  <si>
    <t>Louis-Auguste 
Martenet</t>
  </si>
  <si>
    <t>Reproduction 
de documents 
d'archives</t>
  </si>
  <si>
    <t>Fondation suisse 
Téléthèses</t>
  </si>
  <si>
    <t>Pouponnière 
des brenets</t>
  </si>
  <si>
    <t>Georges Emile
 Guillaume</t>
  </si>
  <si>
    <t>Jeanne 
Descombes</t>
  </si>
  <si>
    <t>Jacques 
Petitpierre</t>
  </si>
  <si>
    <t>Perrot -
Dupasquier</t>
  </si>
  <si>
    <t>https://floraweb.ne.ch/flora/ark:/37964/00125949</t>
  </si>
  <si>
    <t>https://floraweb.ne.ch/flora/ark:/37964/00163</t>
  </si>
  <si>
    <t>https://floraweb.ne.ch/flora/ark:/37964/00128</t>
  </si>
  <si>
    <t>https://floraweb.ne.ch/flora/ark:/37964/001291519</t>
  </si>
  <si>
    <t>https://floraweb.ne.ch/flora/ark:/37964/00164</t>
  </si>
  <si>
    <t>Inspection 
du travail
- SST</t>
  </si>
  <si>
    <t>Rassemblement thématique</t>
  </si>
  <si>
    <t>Louis et Fritz 
Courvoisier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</si>
</sst>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u/>
      <sz val="9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/>
    <xf numFmtId="0" fontId="5" fillId="0" borderId="0" xfId="1" applyFill="1"/>
  </cellXfs>
  <cellStyles count="2">
    <cellStyle name="Lien hypertexte" xfId="1" builtinId="8"/>
    <cellStyle name="Normal" xfId="0" builtinId="0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O47" totalsRowCount="1" headerRowDxfId="31" dataDxfId="30">
  <autoFilter ref="A1:O46" xr:uid="{8F53C7DE-5ACE-44B9-AFED-CFF386979C83}"/>
  <tableColumns count="15">
    <tableColumn id="2" xr3:uid="{31549486-7F2E-4720-86ED-660CF93EA268}" name="type_fonds" dataDxfId="29" totalsRowDxfId="14"/>
    <tableColumn id="3" xr3:uid="{44DBD2D6-A26C-4619-BA53-BD0A053DDA09}" name="fonds" dataDxfId="28" totalsRowDxfId="13"/>
    <tableColumn id="1" xr3:uid="{92C2023F-6815-443D-8AAF-22E8CA0BFD02}" name="permalien" dataDxfId="27" totalsRowDxfId="12"/>
    <tableColumn id="10" xr3:uid="{551687C6-B682-41B5-A7B6-A8925004B7F6}" name="sujet" dataDxfId="26" totalsRowDxfId="11"/>
    <tableColumn id="6" xr3:uid="{697E4562-3E70-4B9D-AD7C-CEF37C6885EF}" name="date_min" dataDxfId="25" totalsRowDxfId="10"/>
    <tableColumn id="14" xr3:uid="{E7ABFEE4-B076-4E14-B931-D30174E84245}" name="date_max" dataDxfId="24" totalsRowDxfId="9"/>
    <tableColumn id="11" xr3:uid="{FBFD00C7-C0FE-4674-941B-FC4F56DA9222}" name="format" dataDxfId="23" totalsRowDxfId="8"/>
    <tableColumn id="4" xr3:uid="{CC430E9A-C81E-4E26-9333-69D2A8783BCD}" name="colorimetrie" dataDxfId="22" totalsRowDxfId="7"/>
    <tableColumn id="15" xr3:uid="{0ACB52F1-1F4D-4597-9FF9-2993E0907D88}" name="nbre_photographie" totalsRowFunction="custom" dataDxfId="21" totalsRowDxfId="6">
      <totalsRowFormula>SUM(Tableau2[nbre_photographie])</totalsRowFormula>
    </tableColumn>
    <tableColumn id="5" xr3:uid="{39AF687A-79CC-45FE-85E9-3025AD1314C4}" name="nbre_plaque_de_verre" totalsRowFunction="custom" dataDxfId="20" totalsRowDxfId="5">
      <totalsRowFormula>SUM(Tableau2[nbre_plaque_de_verre])</totalsRowFormula>
    </tableColumn>
    <tableColumn id="7" xr3:uid="{FCFA9C43-ECB2-410C-B178-13AE9E50E59B}" name="nbre_negatif" totalsRowFunction="custom" dataDxfId="19" totalsRowDxfId="4">
      <totalsRowFormula>SUM(Tableau2[nbre_negatif])</totalsRowFormula>
    </tableColumn>
    <tableColumn id="8" xr3:uid="{073BF370-9345-4314-BCC8-D51786D35B58}" name="nbre_carte_postale" totalsRowFunction="custom" dataDxfId="18" totalsRowDxfId="3">
      <totalsRowFormula>SUM(Tableau2[nbre_carte_postale])</totalsRowFormula>
    </tableColumn>
    <tableColumn id="13" xr3:uid="{4D7DDD2F-0449-4E93-8041-333DBB037EE1}" name="nbre_daguerrotype" totalsRowFunction="custom" dataDxfId="17" totalsRowDxfId="2">
      <totalsRowFormula>SUM(Tableau2[nbre_daguerrotype])</totalsRowFormula>
    </tableColumn>
    <tableColumn id="16" xr3:uid="{DDEF7DA6-9CB3-4768-B530-E87CB8ADE9B1}" name="nbre_planches_contact" totalsRowFunction="custom" dataDxfId="16" totalsRowDxfId="1">
      <totalsRowFormula>SUM(Tableau2[nbre_planches_contact])</totalsRowFormula>
    </tableColumn>
    <tableColumn id="17" xr3:uid="{8CCA5C17-6876-4596-B239-114BBA31536D}" name="nbre_diapositive" totalsRowLabel="400" dataDxfId="15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loraweb.ne.ch/flora/ark:/37964/001241" TargetMode="External"/><Relationship Id="rId18" Type="http://schemas.openxmlformats.org/officeDocument/2006/relationships/hyperlink" Target="https://floraweb.ne.ch/flora/ark:/37964/001152" TargetMode="External"/><Relationship Id="rId26" Type="http://schemas.openxmlformats.org/officeDocument/2006/relationships/hyperlink" Target="https://floraweb.ne.ch/flora/ark:/37964/001297246" TargetMode="External"/><Relationship Id="rId39" Type="http://schemas.openxmlformats.org/officeDocument/2006/relationships/hyperlink" Target="https://www.archivesne.ch/" TargetMode="External"/><Relationship Id="rId21" Type="http://schemas.openxmlformats.org/officeDocument/2006/relationships/hyperlink" Target="https://floraweb.ne.ch/flora/ark:/37964/001144" TargetMode="External"/><Relationship Id="rId34" Type="http://schemas.openxmlformats.org/officeDocument/2006/relationships/hyperlink" Target="https://floraweb.ne.ch/flora/ark:/37964/00155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floraweb.ne.ch/flora/ark:/37964/00125949" TargetMode="External"/><Relationship Id="rId2" Type="http://schemas.openxmlformats.org/officeDocument/2006/relationships/hyperlink" Target="https://floraweb.ne.ch/flora/ark:/37964/001284773" TargetMode="External"/><Relationship Id="rId16" Type="http://schemas.openxmlformats.org/officeDocument/2006/relationships/hyperlink" Target="https://floraweb.ne.ch/flora/ark:/37964/001252042" TargetMode="External"/><Relationship Id="rId20" Type="http://schemas.openxmlformats.org/officeDocument/2006/relationships/hyperlink" Target="https://floraweb.ne.ch/flora/ark:/37964/001281570" TargetMode="External"/><Relationship Id="rId29" Type="http://schemas.openxmlformats.org/officeDocument/2006/relationships/hyperlink" Target="https://floraweb.ne.ch/flora/ark:/37964/001230" TargetMode="External"/><Relationship Id="rId41" Type="http://schemas.openxmlformats.org/officeDocument/2006/relationships/hyperlink" Target="https://www.archivesne.ch/" TargetMode="External"/><Relationship Id="rId1" Type="http://schemas.openxmlformats.org/officeDocument/2006/relationships/hyperlink" Target="https://floraweb.ne.ch/flora/ark:/37964/001714497" TargetMode="External"/><Relationship Id="rId6" Type="http://schemas.openxmlformats.org/officeDocument/2006/relationships/hyperlink" Target="https://floraweb.ne.ch/flora/ark:/37964/001296996" TargetMode="External"/><Relationship Id="rId11" Type="http://schemas.openxmlformats.org/officeDocument/2006/relationships/hyperlink" Target="https://floraweb.ne.ch/flora/ark:/37964/001113" TargetMode="External"/><Relationship Id="rId24" Type="http://schemas.openxmlformats.org/officeDocument/2006/relationships/hyperlink" Target="https://www.archivesne.ch/" TargetMode="External"/><Relationship Id="rId32" Type="http://schemas.openxmlformats.org/officeDocument/2006/relationships/hyperlink" Target="https://floraweb.ne.ch/flora/ark:/37964/001287386" TargetMode="External"/><Relationship Id="rId37" Type="http://schemas.openxmlformats.org/officeDocument/2006/relationships/hyperlink" Target="https://floraweb.ne.ch/flora/ark:/37964/001291519" TargetMode="External"/><Relationship Id="rId40" Type="http://schemas.openxmlformats.org/officeDocument/2006/relationships/hyperlink" Target="https://floraweb.ne.ch/flora/ark:/37964/00164" TargetMode="External"/><Relationship Id="rId5" Type="http://schemas.openxmlformats.org/officeDocument/2006/relationships/hyperlink" Target="https://floraweb.ne.ch/flora/ark:/37964/001101200" TargetMode="External"/><Relationship Id="rId15" Type="http://schemas.openxmlformats.org/officeDocument/2006/relationships/hyperlink" Target="https://floraweb.ne.ch/flora/ark:/37964/001315912" TargetMode="External"/><Relationship Id="rId23" Type="http://schemas.openxmlformats.org/officeDocument/2006/relationships/hyperlink" Target="https://floraweb.ne.ch/flora/ark:/37964/001212" TargetMode="External"/><Relationship Id="rId28" Type="http://schemas.openxmlformats.org/officeDocument/2006/relationships/hyperlink" Target="https://floraweb.ne.ch/flora/ark:/37964/00175" TargetMode="External"/><Relationship Id="rId36" Type="http://schemas.openxmlformats.org/officeDocument/2006/relationships/hyperlink" Target="https://www.archivesne.ch/" TargetMode="External"/><Relationship Id="rId10" Type="http://schemas.openxmlformats.org/officeDocument/2006/relationships/hyperlink" Target="https://floraweb.ne.ch/flora/ark:/37964/001112" TargetMode="External"/><Relationship Id="rId19" Type="http://schemas.openxmlformats.org/officeDocument/2006/relationships/hyperlink" Target="https://floraweb.ne.ch/flora/ark:/37964/001134" TargetMode="External"/><Relationship Id="rId31" Type="http://schemas.openxmlformats.org/officeDocument/2006/relationships/hyperlink" Target="https://floraweb.ne.ch/flora/ark:/37964/001286" TargetMode="External"/><Relationship Id="rId4" Type="http://schemas.openxmlformats.org/officeDocument/2006/relationships/hyperlink" Target="https://floraweb.ne.ch/flora/ark:/37964/001269821" TargetMode="External"/><Relationship Id="rId9" Type="http://schemas.openxmlformats.org/officeDocument/2006/relationships/hyperlink" Target="https://www.archivesne.ch/" TargetMode="External"/><Relationship Id="rId14" Type="http://schemas.openxmlformats.org/officeDocument/2006/relationships/hyperlink" Target="https://floraweb.ne.ch/flora/ark:/37964/001165" TargetMode="External"/><Relationship Id="rId22" Type="http://schemas.openxmlformats.org/officeDocument/2006/relationships/hyperlink" Target="https://floraweb.ne.ch/flora/ark:/37964/001101961" TargetMode="External"/><Relationship Id="rId27" Type="http://schemas.openxmlformats.org/officeDocument/2006/relationships/hyperlink" Target="https://floraweb.ne.ch/flora/ark:/37964/001114" TargetMode="External"/><Relationship Id="rId30" Type="http://schemas.openxmlformats.org/officeDocument/2006/relationships/hyperlink" Target="https://floraweb.ne.ch/flora/ark:/37964/001272677" TargetMode="External"/><Relationship Id="rId35" Type="http://schemas.openxmlformats.org/officeDocument/2006/relationships/hyperlink" Target="https://floraweb.ne.ch/flora/ark:/37964/001303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floraweb.ne.ch/flora/ark:/37964/00163" TargetMode="External"/><Relationship Id="rId3" Type="http://schemas.openxmlformats.org/officeDocument/2006/relationships/hyperlink" Target="https://floraweb.ne.ch/flora/ark:/37964/001225851" TargetMode="External"/><Relationship Id="rId12" Type="http://schemas.openxmlformats.org/officeDocument/2006/relationships/hyperlink" Target="https://floraweb.ne.ch/flora/ark:/37964/001554" TargetMode="External"/><Relationship Id="rId17" Type="http://schemas.openxmlformats.org/officeDocument/2006/relationships/hyperlink" Target="https://floraweb.ne.ch/flora/ark:/37964/00128" TargetMode="External"/><Relationship Id="rId25" Type="http://schemas.openxmlformats.org/officeDocument/2006/relationships/hyperlink" Target="https://floraweb.ne.ch/flora/ark:/37964/001200" TargetMode="External"/><Relationship Id="rId33" Type="http://schemas.openxmlformats.org/officeDocument/2006/relationships/hyperlink" Target="https://floraweb.ne.ch/flora/ark:/37964/001273037" TargetMode="External"/><Relationship Id="rId38" Type="http://schemas.openxmlformats.org/officeDocument/2006/relationships/hyperlink" Target="https://www.archivesne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="120" zoomScaleNormal="120" workbookViewId="0">
      <pane ySplit="1" topLeftCell="A25" activePane="bottomLeft" state="frozen"/>
      <selection activeCell="C1" sqref="C1"/>
      <selection pane="bottomLeft" activeCell="B29" sqref="B29"/>
    </sheetView>
  </sheetViews>
  <sheetFormatPr baseColWidth="10" defaultColWidth="11.42578125" defaultRowHeight="12" x14ac:dyDescent="0.2"/>
  <cols>
    <col min="1" max="1" width="20.140625" style="2" customWidth="1"/>
    <col min="2" max="3" width="37.5703125" style="2" customWidth="1"/>
    <col min="4" max="4" width="43.5703125" style="2" customWidth="1"/>
    <col min="5" max="5" width="12.85546875" style="1" customWidth="1"/>
    <col min="6" max="6" width="26" style="1" customWidth="1"/>
    <col min="7" max="7" width="23.28515625" style="2" customWidth="1"/>
    <col min="8" max="8" width="26.28515625" style="2" customWidth="1"/>
    <col min="9" max="9" width="18.42578125" style="1" bestFit="1" customWidth="1"/>
    <col min="10" max="10" width="18.140625" style="1" customWidth="1"/>
    <col min="11" max="11" width="18.42578125" style="1" bestFit="1" customWidth="1"/>
    <col min="12" max="12" width="13" style="1" customWidth="1"/>
    <col min="13" max="15" width="15" style="1" customWidth="1"/>
    <col min="16" max="16" width="11.140625"/>
    <col min="17" max="17" width="17.85546875" style="1" customWidth="1"/>
    <col min="18" max="16384" width="11.42578125" style="1"/>
  </cols>
  <sheetData>
    <row r="1" spans="1:16" ht="33.75" customHeight="1" x14ac:dyDescent="0.2">
      <c r="A1" s="3" t="s">
        <v>101</v>
      </c>
      <c r="B1" s="3" t="s">
        <v>80</v>
      </c>
      <c r="C1" s="3" t="s">
        <v>106</v>
      </c>
      <c r="D1" s="2" t="s">
        <v>25</v>
      </c>
      <c r="E1" s="1" t="s">
        <v>23</v>
      </c>
      <c r="F1" s="4" t="s">
        <v>24</v>
      </c>
      <c r="G1" s="2" t="s">
        <v>21</v>
      </c>
      <c r="H1" s="3" t="s">
        <v>22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1"/>
    </row>
    <row r="2" spans="1:16" x14ac:dyDescent="0.2">
      <c r="A2" s="3" t="s">
        <v>105</v>
      </c>
      <c r="B2" s="2" t="s">
        <v>71</v>
      </c>
      <c r="C2" s="14" t="s">
        <v>139</v>
      </c>
      <c r="D2" s="3" t="s">
        <v>34</v>
      </c>
      <c r="E2" s="1">
        <v>1982</v>
      </c>
      <c r="F2" s="1">
        <v>1989</v>
      </c>
      <c r="G2" s="2" t="s">
        <v>6</v>
      </c>
      <c r="H2" s="2" t="s">
        <v>81</v>
      </c>
      <c r="I2" s="1">
        <v>4237</v>
      </c>
      <c r="P2" s="1"/>
    </row>
    <row r="3" spans="1:16" ht="24" x14ac:dyDescent="0.2">
      <c r="A3" s="2" t="s">
        <v>102</v>
      </c>
      <c r="B3" s="3" t="s">
        <v>143</v>
      </c>
      <c r="C3" s="14" t="s">
        <v>148</v>
      </c>
      <c r="D3" s="7" t="s">
        <v>17</v>
      </c>
      <c r="E3" s="4">
        <v>1913</v>
      </c>
      <c r="F3" s="4">
        <v>1964</v>
      </c>
      <c r="G3" s="3" t="s">
        <v>6</v>
      </c>
      <c r="H3" s="3" t="s">
        <v>0</v>
      </c>
      <c r="I3" s="4">
        <v>215</v>
      </c>
      <c r="J3" s="4"/>
      <c r="K3" s="4"/>
      <c r="L3" s="4"/>
      <c r="M3" s="4"/>
      <c r="N3" s="4"/>
      <c r="O3" s="4"/>
      <c r="P3" s="1"/>
    </row>
    <row r="4" spans="1:16" ht="24" x14ac:dyDescent="0.2">
      <c r="A4" s="3" t="s">
        <v>154</v>
      </c>
      <c r="B4" s="3" t="s">
        <v>55</v>
      </c>
      <c r="C4" s="14" t="s">
        <v>149</v>
      </c>
      <c r="D4" s="7" t="s">
        <v>53</v>
      </c>
      <c r="E4" s="4">
        <v>1890</v>
      </c>
      <c r="F4" s="4">
        <v>1954</v>
      </c>
      <c r="G4" s="3" t="s">
        <v>7</v>
      </c>
      <c r="H4" s="3" t="s">
        <v>5</v>
      </c>
      <c r="I4" s="4">
        <v>3000</v>
      </c>
      <c r="J4" s="4">
        <v>4</v>
      </c>
      <c r="K4" s="4">
        <v>3</v>
      </c>
      <c r="L4" s="4">
        <v>58</v>
      </c>
      <c r="M4" s="4">
        <v>3</v>
      </c>
      <c r="N4" s="4"/>
      <c r="O4" s="4"/>
      <c r="P4" s="1"/>
    </row>
    <row r="5" spans="1:16" x14ac:dyDescent="0.2">
      <c r="A5" s="3" t="s">
        <v>105</v>
      </c>
      <c r="B5" s="3" t="s">
        <v>78</v>
      </c>
      <c r="C5" s="14" t="s">
        <v>107</v>
      </c>
      <c r="D5" s="3" t="s">
        <v>50</v>
      </c>
      <c r="E5" s="4">
        <v>1897</v>
      </c>
      <c r="F5" s="4">
        <v>1910</v>
      </c>
      <c r="G5" s="3"/>
      <c r="H5" s="3" t="s">
        <v>83</v>
      </c>
      <c r="J5" s="4">
        <v>1092</v>
      </c>
      <c r="K5" s="4"/>
      <c r="L5" s="4"/>
      <c r="M5" s="4"/>
      <c r="N5" s="4"/>
      <c r="O5" s="4"/>
      <c r="P5" s="1"/>
    </row>
    <row r="6" spans="1:16" ht="24" x14ac:dyDescent="0.2">
      <c r="A6" s="3" t="s">
        <v>105</v>
      </c>
      <c r="B6" s="3" t="s">
        <v>67</v>
      </c>
      <c r="C6" s="14" t="s">
        <v>108</v>
      </c>
      <c r="D6" s="2" t="s">
        <v>88</v>
      </c>
      <c r="E6" s="1">
        <v>1890</v>
      </c>
      <c r="F6" s="1">
        <v>1910</v>
      </c>
      <c r="G6" s="3" t="s">
        <v>14</v>
      </c>
      <c r="H6" s="2" t="s">
        <v>0</v>
      </c>
      <c r="I6" s="1">
        <v>78</v>
      </c>
      <c r="L6" s="1">
        <v>330</v>
      </c>
      <c r="P6" s="1"/>
    </row>
    <row r="7" spans="1:16" ht="24" x14ac:dyDescent="0.2">
      <c r="A7" s="3" t="s">
        <v>105</v>
      </c>
      <c r="B7" s="13" t="s">
        <v>86</v>
      </c>
      <c r="C7" s="14" t="s">
        <v>139</v>
      </c>
      <c r="D7" s="3" t="s">
        <v>54</v>
      </c>
      <c r="E7" s="4">
        <v>1938</v>
      </c>
      <c r="F7" s="4">
        <v>1979</v>
      </c>
      <c r="G7" s="3" t="s">
        <v>14</v>
      </c>
      <c r="H7" s="3" t="s">
        <v>83</v>
      </c>
      <c r="I7" s="4"/>
      <c r="J7" s="5"/>
      <c r="K7" s="4">
        <v>15632</v>
      </c>
      <c r="L7" s="5"/>
      <c r="M7" s="5"/>
      <c r="N7" s="4"/>
      <c r="O7" s="4"/>
      <c r="P7" s="1"/>
    </row>
    <row r="8" spans="1:16" ht="24" x14ac:dyDescent="0.2">
      <c r="A8" s="3" t="s">
        <v>105</v>
      </c>
      <c r="B8" s="3" t="s">
        <v>58</v>
      </c>
      <c r="C8" s="14" t="s">
        <v>109</v>
      </c>
      <c r="D8" s="3" t="s">
        <v>35</v>
      </c>
      <c r="E8" s="4">
        <v>1986</v>
      </c>
      <c r="F8" s="4">
        <v>1993</v>
      </c>
      <c r="G8" s="3" t="s">
        <v>8</v>
      </c>
      <c r="H8" s="3" t="s">
        <v>0</v>
      </c>
      <c r="I8" s="4">
        <v>2637</v>
      </c>
      <c r="J8" s="4"/>
      <c r="K8" s="4"/>
      <c r="L8" s="4"/>
      <c r="M8" s="5"/>
      <c r="N8" s="4">
        <v>413</v>
      </c>
      <c r="O8" s="4"/>
      <c r="P8" s="1"/>
    </row>
    <row r="9" spans="1:16" ht="24" x14ac:dyDescent="0.2">
      <c r="A9" s="3" t="s">
        <v>105</v>
      </c>
      <c r="B9" s="3" t="s">
        <v>85</v>
      </c>
      <c r="C9" s="14" t="s">
        <v>111</v>
      </c>
      <c r="D9" s="3" t="s">
        <v>39</v>
      </c>
      <c r="E9" s="4">
        <v>1913</v>
      </c>
      <c r="F9" s="4">
        <v>1980</v>
      </c>
      <c r="G9" s="3" t="s">
        <v>6</v>
      </c>
      <c r="H9" s="3" t="s">
        <v>5</v>
      </c>
      <c r="I9" s="4">
        <v>423</v>
      </c>
      <c r="J9" s="4"/>
      <c r="K9" s="4"/>
      <c r="L9" s="4"/>
      <c r="M9" s="4"/>
      <c r="N9" s="4"/>
      <c r="O9" s="4"/>
      <c r="P9" s="1"/>
    </row>
    <row r="10" spans="1:16" ht="24" x14ac:dyDescent="0.2">
      <c r="A10" s="2" t="s">
        <v>102</v>
      </c>
      <c r="B10" s="3" t="s">
        <v>68</v>
      </c>
      <c r="C10" s="14" t="s">
        <v>150</v>
      </c>
      <c r="D10" s="3" t="s">
        <v>138</v>
      </c>
      <c r="E10" s="4">
        <v>1948</v>
      </c>
      <c r="F10" s="4">
        <v>1983</v>
      </c>
      <c r="G10" s="3" t="s">
        <v>9</v>
      </c>
      <c r="H10" s="3" t="s">
        <v>82</v>
      </c>
      <c r="I10" s="4">
        <v>552</v>
      </c>
      <c r="J10" s="4"/>
      <c r="K10" s="4">
        <v>100</v>
      </c>
      <c r="L10" s="4"/>
      <c r="M10" s="4"/>
      <c r="N10" s="4"/>
      <c r="O10" s="4"/>
      <c r="P10" s="1"/>
    </row>
    <row r="11" spans="1:16" ht="24" x14ac:dyDescent="0.2">
      <c r="A11" s="3" t="s">
        <v>105</v>
      </c>
      <c r="B11" s="3" t="s">
        <v>72</v>
      </c>
      <c r="C11" s="14" t="s">
        <v>116</v>
      </c>
      <c r="D11" s="3" t="s">
        <v>89</v>
      </c>
      <c r="E11" s="4">
        <v>1897</v>
      </c>
      <c r="F11" s="4">
        <v>1996</v>
      </c>
      <c r="G11" s="2" t="s">
        <v>9</v>
      </c>
      <c r="H11" s="3" t="s">
        <v>0</v>
      </c>
      <c r="I11" s="4">
        <v>244</v>
      </c>
      <c r="J11" s="4"/>
      <c r="K11" s="4"/>
      <c r="L11" s="4"/>
      <c r="M11" s="4"/>
      <c r="N11" s="4"/>
      <c r="O11" s="4"/>
      <c r="P11" s="1"/>
    </row>
    <row r="12" spans="1:16" ht="24" x14ac:dyDescent="0.2">
      <c r="A12" s="3" t="s">
        <v>105</v>
      </c>
      <c r="B12" s="3" t="s">
        <v>61</v>
      </c>
      <c r="C12" s="14" t="s">
        <v>117</v>
      </c>
      <c r="D12" s="3" t="s">
        <v>90</v>
      </c>
      <c r="E12" s="4">
        <v>1880</v>
      </c>
      <c r="F12" s="4">
        <v>1945</v>
      </c>
      <c r="G12" s="2" t="s">
        <v>9</v>
      </c>
      <c r="H12" s="3" t="s">
        <v>0</v>
      </c>
      <c r="I12" s="4">
        <v>690</v>
      </c>
      <c r="J12" s="4"/>
      <c r="K12" s="4">
        <v>80</v>
      </c>
      <c r="L12" s="4"/>
      <c r="M12" s="4"/>
      <c r="N12" s="4"/>
      <c r="O12" s="4"/>
      <c r="P12" s="1"/>
    </row>
    <row r="13" spans="1:16" ht="24" x14ac:dyDescent="0.2">
      <c r="A13" s="3" t="s">
        <v>105</v>
      </c>
      <c r="B13" s="3" t="s">
        <v>74</v>
      </c>
      <c r="C13" s="14" t="s">
        <v>118</v>
      </c>
      <c r="D13" s="2" t="s">
        <v>91</v>
      </c>
      <c r="E13" s="1">
        <v>1890</v>
      </c>
      <c r="F13" s="1">
        <v>1920</v>
      </c>
      <c r="G13" s="2" t="s">
        <v>10</v>
      </c>
      <c r="H13" s="2" t="s">
        <v>0</v>
      </c>
      <c r="I13" s="1">
        <v>28</v>
      </c>
      <c r="J13" s="1">
        <v>3</v>
      </c>
      <c r="M13" s="1">
        <v>1</v>
      </c>
      <c r="P13" s="1"/>
    </row>
    <row r="14" spans="1:16" ht="24" x14ac:dyDescent="0.2">
      <c r="A14" s="2" t="s">
        <v>102</v>
      </c>
      <c r="B14" s="3" t="s">
        <v>87</v>
      </c>
      <c r="C14" s="14" t="s">
        <v>135</v>
      </c>
      <c r="D14" s="7" t="s">
        <v>3</v>
      </c>
      <c r="E14" s="4">
        <v>1848</v>
      </c>
      <c r="F14" s="4">
        <v>1993</v>
      </c>
      <c r="G14" s="3" t="s">
        <v>4</v>
      </c>
      <c r="H14" s="3" t="s">
        <v>5</v>
      </c>
      <c r="I14" s="4">
        <v>10000</v>
      </c>
      <c r="J14" s="4"/>
      <c r="K14" s="4"/>
      <c r="L14" s="4"/>
      <c r="M14" s="4"/>
      <c r="N14" s="4"/>
      <c r="O14" s="4"/>
      <c r="P14" s="1"/>
    </row>
    <row r="15" spans="1:16" ht="24" x14ac:dyDescent="0.2">
      <c r="A15" s="3" t="s">
        <v>105</v>
      </c>
      <c r="B15" s="3" t="s">
        <v>70</v>
      </c>
      <c r="C15" s="14" t="s">
        <v>113</v>
      </c>
      <c r="D15" s="7" t="s">
        <v>52</v>
      </c>
      <c r="E15" s="4">
        <v>1900</v>
      </c>
      <c r="F15" s="4">
        <v>1999</v>
      </c>
      <c r="G15" s="3" t="s">
        <v>14</v>
      </c>
      <c r="H15" s="3" t="s">
        <v>0</v>
      </c>
      <c r="I15" s="4">
        <v>1547</v>
      </c>
      <c r="J15" s="4"/>
      <c r="K15" s="4"/>
      <c r="L15" s="4">
        <v>50</v>
      </c>
      <c r="M15" s="4"/>
      <c r="N15" s="4"/>
      <c r="O15" s="4"/>
      <c r="P15" s="1"/>
    </row>
    <row r="16" spans="1:16" ht="24" x14ac:dyDescent="0.2">
      <c r="A16" s="3" t="s">
        <v>105</v>
      </c>
      <c r="B16" s="3" t="s">
        <v>79</v>
      </c>
      <c r="C16" s="14" t="s">
        <v>139</v>
      </c>
      <c r="D16" s="7" t="s">
        <v>51</v>
      </c>
      <c r="E16" s="4">
        <v>1924</v>
      </c>
      <c r="F16" s="4">
        <v>1990</v>
      </c>
      <c r="G16" s="3" t="s">
        <v>14</v>
      </c>
      <c r="H16" s="3" t="s">
        <v>82</v>
      </c>
      <c r="I16" s="4">
        <v>1726</v>
      </c>
      <c r="J16" s="4">
        <v>551</v>
      </c>
      <c r="K16" s="4">
        <v>613</v>
      </c>
      <c r="L16" s="4"/>
      <c r="M16" s="4"/>
      <c r="N16" s="4"/>
      <c r="O16" s="4"/>
      <c r="P16" s="1"/>
    </row>
    <row r="17" spans="1:16" ht="24" x14ac:dyDescent="0.2">
      <c r="A17" s="3" t="s">
        <v>105</v>
      </c>
      <c r="B17" s="3" t="s">
        <v>103</v>
      </c>
      <c r="C17" s="14" t="s">
        <v>136</v>
      </c>
      <c r="D17" s="3" t="s">
        <v>92</v>
      </c>
      <c r="E17" s="4">
        <v>1890</v>
      </c>
      <c r="F17" s="4">
        <v>1915</v>
      </c>
      <c r="G17" s="2" t="s">
        <v>7</v>
      </c>
      <c r="H17" s="3" t="s">
        <v>5</v>
      </c>
      <c r="I17" s="4">
        <v>350</v>
      </c>
      <c r="J17" s="4"/>
      <c r="K17" s="4"/>
      <c r="L17" s="4"/>
      <c r="M17" s="4"/>
      <c r="N17" s="4"/>
      <c r="O17" s="4"/>
      <c r="P17" s="1"/>
    </row>
    <row r="18" spans="1:16" ht="24" x14ac:dyDescent="0.2">
      <c r="A18" s="3" t="s">
        <v>105</v>
      </c>
      <c r="B18" s="3" t="s">
        <v>93</v>
      </c>
      <c r="C18" s="14" t="s">
        <v>122</v>
      </c>
      <c r="D18" s="3" t="s">
        <v>94</v>
      </c>
      <c r="E18" s="4">
        <v>1860</v>
      </c>
      <c r="F18" s="4">
        <v>1920</v>
      </c>
      <c r="G18" s="2" t="s">
        <v>9</v>
      </c>
      <c r="H18" s="3" t="s">
        <v>82</v>
      </c>
      <c r="I18" s="4">
        <v>902</v>
      </c>
      <c r="J18" s="4">
        <v>283</v>
      </c>
      <c r="K18" s="4">
        <v>100</v>
      </c>
      <c r="L18" s="4"/>
      <c r="M18" s="4"/>
      <c r="N18" s="4"/>
      <c r="O18" s="4"/>
      <c r="P18" s="1"/>
    </row>
    <row r="19" spans="1:16" x14ac:dyDescent="0.2">
      <c r="A19" s="3" t="s">
        <v>105</v>
      </c>
      <c r="B19" s="3" t="s">
        <v>95</v>
      </c>
      <c r="C19" s="14" t="s">
        <v>139</v>
      </c>
      <c r="D19" s="3" t="s">
        <v>16</v>
      </c>
      <c r="E19" s="4">
        <v>1890</v>
      </c>
      <c r="F19" s="4">
        <v>1920</v>
      </c>
      <c r="G19" s="3"/>
      <c r="H19" s="3" t="s">
        <v>0</v>
      </c>
      <c r="I19" s="4">
        <v>37</v>
      </c>
      <c r="J19" s="4"/>
      <c r="K19" s="4"/>
      <c r="L19" s="4"/>
      <c r="M19" s="4"/>
      <c r="N19" s="4"/>
      <c r="O19" s="4"/>
      <c r="P19" s="1"/>
    </row>
    <row r="20" spans="1:16" x14ac:dyDescent="0.2">
      <c r="A20" s="3" t="s">
        <v>105</v>
      </c>
      <c r="B20" s="3" t="s">
        <v>96</v>
      </c>
      <c r="C20" s="14" t="s">
        <v>126</v>
      </c>
      <c r="D20" s="3" t="s">
        <v>19</v>
      </c>
      <c r="E20" s="4">
        <v>1890</v>
      </c>
      <c r="F20" s="4">
        <v>1960</v>
      </c>
      <c r="G20" s="3" t="s">
        <v>6</v>
      </c>
      <c r="H20" s="3" t="s">
        <v>13</v>
      </c>
      <c r="I20" s="4">
        <v>32</v>
      </c>
      <c r="J20" s="4"/>
      <c r="K20" s="4"/>
      <c r="L20" s="4"/>
      <c r="M20" s="4"/>
      <c r="N20" s="4"/>
      <c r="O20" s="4"/>
      <c r="P20" s="1"/>
    </row>
    <row r="21" spans="1:16" ht="24" x14ac:dyDescent="0.2">
      <c r="A21" s="3" t="s">
        <v>105</v>
      </c>
      <c r="B21" s="3" t="s">
        <v>97</v>
      </c>
      <c r="C21" s="14" t="s">
        <v>121</v>
      </c>
      <c r="D21" s="3" t="s">
        <v>98</v>
      </c>
      <c r="E21" s="4">
        <v>1890</v>
      </c>
      <c r="F21" s="4">
        <v>1980</v>
      </c>
      <c r="G21" s="2" t="s">
        <v>9</v>
      </c>
      <c r="H21" s="3" t="s">
        <v>84</v>
      </c>
      <c r="I21" s="4">
        <v>1335</v>
      </c>
      <c r="J21" s="4"/>
      <c r="K21" s="4">
        <v>28</v>
      </c>
      <c r="L21" s="4"/>
      <c r="M21" s="4"/>
      <c r="N21" s="4"/>
      <c r="O21" s="4"/>
      <c r="P21" s="1"/>
    </row>
    <row r="22" spans="1:16" ht="24" x14ac:dyDescent="0.2">
      <c r="A22" s="3" t="s">
        <v>105</v>
      </c>
      <c r="B22" s="3" t="s">
        <v>142</v>
      </c>
      <c r="C22" s="14" t="s">
        <v>137</v>
      </c>
      <c r="D22" s="3" t="s">
        <v>15</v>
      </c>
      <c r="E22" s="4">
        <v>1985</v>
      </c>
      <c r="F22" s="1">
        <v>2004</v>
      </c>
      <c r="G22" s="2" t="s">
        <v>6</v>
      </c>
      <c r="H22" s="2" t="s">
        <v>82</v>
      </c>
      <c r="I22" s="1">
        <v>1500</v>
      </c>
      <c r="K22" s="1">
        <v>120</v>
      </c>
      <c r="P22" s="1"/>
    </row>
    <row r="23" spans="1:16" ht="24" x14ac:dyDescent="0.2">
      <c r="A23" s="3" t="s">
        <v>105</v>
      </c>
      <c r="B23" s="7" t="s">
        <v>144</v>
      </c>
      <c r="C23" s="14" t="s">
        <v>134</v>
      </c>
      <c r="D23" s="3" t="s">
        <v>43</v>
      </c>
      <c r="E23" s="4">
        <v>1905</v>
      </c>
      <c r="F23" s="4">
        <v>1906</v>
      </c>
      <c r="G23" s="3" t="s">
        <v>6</v>
      </c>
      <c r="H23" s="3" t="s">
        <v>0</v>
      </c>
      <c r="I23" s="4">
        <v>187</v>
      </c>
      <c r="J23" s="4"/>
      <c r="K23" s="4">
        <v>10</v>
      </c>
      <c r="L23" s="4"/>
      <c r="M23" s="4"/>
      <c r="N23" s="4"/>
      <c r="O23" s="4"/>
      <c r="P23" s="1"/>
    </row>
    <row r="24" spans="1:16" ht="24" x14ac:dyDescent="0.2">
      <c r="A24" s="3" t="s">
        <v>105</v>
      </c>
      <c r="B24" s="7" t="s">
        <v>66</v>
      </c>
      <c r="C24" s="14" t="s">
        <v>125</v>
      </c>
      <c r="D24" s="3" t="s">
        <v>33</v>
      </c>
      <c r="E24" s="4">
        <v>1881</v>
      </c>
      <c r="F24" s="4">
        <v>1905</v>
      </c>
      <c r="G24" s="3" t="s">
        <v>14</v>
      </c>
      <c r="H24" s="3" t="s">
        <v>0</v>
      </c>
      <c r="I24" s="4">
        <v>85</v>
      </c>
      <c r="J24" s="4"/>
      <c r="K24" s="4"/>
      <c r="L24" s="4"/>
      <c r="M24" s="4"/>
      <c r="N24" s="4"/>
      <c r="O24" s="4"/>
      <c r="P24" s="1"/>
    </row>
    <row r="25" spans="1:16" ht="32.25" customHeight="1" x14ac:dyDescent="0.2">
      <c r="A25" s="3" t="s">
        <v>105</v>
      </c>
      <c r="B25" s="3" t="s">
        <v>77</v>
      </c>
      <c r="C25" s="14" t="s">
        <v>123</v>
      </c>
      <c r="D25" s="3" t="s">
        <v>49</v>
      </c>
      <c r="E25" s="4">
        <v>1940</v>
      </c>
      <c r="F25" s="4">
        <v>1960</v>
      </c>
      <c r="G25" s="3" t="s">
        <v>14</v>
      </c>
      <c r="H25" s="3" t="s">
        <v>0</v>
      </c>
      <c r="I25" s="4">
        <v>4</v>
      </c>
      <c r="J25" s="4"/>
      <c r="K25" s="4"/>
      <c r="L25" s="4"/>
      <c r="M25" s="4"/>
      <c r="N25" s="4"/>
      <c r="O25" s="4"/>
      <c r="P25" s="1"/>
    </row>
    <row r="26" spans="1:16" ht="24" x14ac:dyDescent="0.2">
      <c r="A26" s="3" t="s">
        <v>105</v>
      </c>
      <c r="B26" s="7" t="s">
        <v>60</v>
      </c>
      <c r="C26" s="14" t="s">
        <v>151</v>
      </c>
      <c r="D26" s="7" t="s">
        <v>37</v>
      </c>
      <c r="E26" s="4">
        <v>1924</v>
      </c>
      <c r="F26" s="4">
        <v>1936</v>
      </c>
      <c r="G26" s="2" t="s">
        <v>11</v>
      </c>
      <c r="H26" s="3" t="s">
        <v>5</v>
      </c>
      <c r="I26" s="4">
        <v>765</v>
      </c>
      <c r="J26" s="4">
        <v>81</v>
      </c>
      <c r="K26" s="4"/>
      <c r="L26" s="4"/>
      <c r="M26" s="4"/>
      <c r="N26" s="4"/>
      <c r="O26" s="4"/>
      <c r="P26" s="1"/>
    </row>
    <row r="27" spans="1:16" ht="36" x14ac:dyDescent="0.2">
      <c r="A27" s="3" t="s">
        <v>102</v>
      </c>
      <c r="B27" s="3" t="s">
        <v>153</v>
      </c>
      <c r="C27" s="14" t="s">
        <v>139</v>
      </c>
      <c r="D27" s="3" t="s">
        <v>46</v>
      </c>
      <c r="E27" s="4">
        <v>1987</v>
      </c>
      <c r="F27" s="4">
        <v>1989</v>
      </c>
      <c r="G27" s="3" t="s">
        <v>6</v>
      </c>
      <c r="H27" s="3" t="s">
        <v>81</v>
      </c>
      <c r="I27" s="9">
        <v>115</v>
      </c>
      <c r="J27" s="9"/>
      <c r="K27" s="9"/>
      <c r="L27" s="9"/>
      <c r="M27" s="9"/>
      <c r="N27" s="9"/>
      <c r="O27" s="9"/>
      <c r="P27" s="1"/>
    </row>
    <row r="28" spans="1:16" ht="24" x14ac:dyDescent="0.2">
      <c r="A28" s="3" t="s">
        <v>105</v>
      </c>
      <c r="B28" s="7" t="s">
        <v>146</v>
      </c>
      <c r="C28" s="14" t="s">
        <v>133</v>
      </c>
      <c r="D28" s="3" t="s">
        <v>132</v>
      </c>
      <c r="E28" s="4">
        <v>1890</v>
      </c>
      <c r="F28" s="4">
        <v>1980</v>
      </c>
      <c r="G28" s="2" t="s">
        <v>10</v>
      </c>
      <c r="H28" s="3" t="s">
        <v>0</v>
      </c>
      <c r="I28" s="4">
        <v>289</v>
      </c>
      <c r="J28" s="4"/>
      <c r="K28" s="4"/>
      <c r="L28" s="4"/>
      <c r="M28" s="4"/>
      <c r="N28" s="4"/>
      <c r="O28" s="4"/>
      <c r="P28" s="1"/>
    </row>
    <row r="29" spans="1:16" ht="36.75" customHeight="1" x14ac:dyDescent="0.2">
      <c r="A29" s="3" t="s">
        <v>105</v>
      </c>
      <c r="B29" s="3" t="s">
        <v>145</v>
      </c>
      <c r="C29" s="14" t="s">
        <v>119</v>
      </c>
      <c r="D29" s="3" t="s">
        <v>41</v>
      </c>
      <c r="E29" s="4">
        <v>1893</v>
      </c>
      <c r="F29" s="4">
        <v>1914</v>
      </c>
      <c r="G29" s="2" t="s">
        <v>9</v>
      </c>
      <c r="H29" s="3" t="s">
        <v>0</v>
      </c>
      <c r="I29" s="4">
        <v>220</v>
      </c>
      <c r="J29" s="4"/>
      <c r="K29" s="4"/>
      <c r="L29" s="4">
        <v>50</v>
      </c>
      <c r="M29" s="4"/>
      <c r="N29" s="4"/>
      <c r="O29" s="4"/>
      <c r="P29" s="1"/>
    </row>
    <row r="30" spans="1:16" ht="24" x14ac:dyDescent="0.2">
      <c r="A30" s="3" t="s">
        <v>105</v>
      </c>
      <c r="B30" s="3" t="s">
        <v>155</v>
      </c>
      <c r="C30" s="14" t="s">
        <v>120</v>
      </c>
      <c r="D30" s="3" t="s">
        <v>48</v>
      </c>
      <c r="E30" s="4">
        <v>1880</v>
      </c>
      <c r="F30" s="1">
        <v>1920</v>
      </c>
      <c r="G30" s="3" t="s">
        <v>14</v>
      </c>
      <c r="H30" s="3" t="s">
        <v>0</v>
      </c>
      <c r="I30" s="4">
        <v>82</v>
      </c>
      <c r="J30" s="4"/>
      <c r="K30" s="4"/>
      <c r="L30" s="4"/>
      <c r="M30" s="4"/>
      <c r="N30" s="4"/>
      <c r="O30" s="4"/>
      <c r="P30" s="1"/>
    </row>
    <row r="31" spans="1:16" ht="24" x14ac:dyDescent="0.2">
      <c r="A31" s="3" t="s">
        <v>105</v>
      </c>
      <c r="B31" s="3" t="s">
        <v>104</v>
      </c>
      <c r="C31" s="14" t="s">
        <v>130</v>
      </c>
      <c r="D31" s="3" t="s">
        <v>46</v>
      </c>
      <c r="E31" s="4">
        <v>1860</v>
      </c>
      <c r="F31" s="4">
        <v>1870</v>
      </c>
      <c r="G31" s="3" t="s">
        <v>11</v>
      </c>
      <c r="H31" s="3" t="s">
        <v>0</v>
      </c>
      <c r="I31" s="4">
        <v>15</v>
      </c>
      <c r="J31" s="4"/>
      <c r="K31" s="4"/>
      <c r="L31" s="4"/>
      <c r="M31" s="4"/>
      <c r="N31" s="4"/>
      <c r="O31" s="4"/>
      <c r="P31" s="1"/>
    </row>
    <row r="32" spans="1:16" ht="24" x14ac:dyDescent="0.2">
      <c r="A32" s="3" t="s">
        <v>105</v>
      </c>
      <c r="B32" s="3" t="s">
        <v>140</v>
      </c>
      <c r="C32" s="14" t="s">
        <v>139</v>
      </c>
      <c r="D32" s="3" t="s">
        <v>38</v>
      </c>
      <c r="E32" s="4">
        <v>1873</v>
      </c>
      <c r="F32" s="4">
        <v>1961</v>
      </c>
      <c r="G32" s="2" t="s">
        <v>9</v>
      </c>
      <c r="H32" s="3" t="s">
        <v>5</v>
      </c>
      <c r="I32" s="4">
        <v>522</v>
      </c>
      <c r="J32" s="4"/>
      <c r="K32" s="4"/>
      <c r="L32" s="4"/>
      <c r="M32" s="4"/>
      <c r="N32" s="4"/>
      <c r="O32" s="4"/>
      <c r="P32" s="1"/>
    </row>
    <row r="33" spans="1:16" x14ac:dyDescent="0.2">
      <c r="A33" s="3" t="s">
        <v>105</v>
      </c>
      <c r="B33" s="3" t="s">
        <v>69</v>
      </c>
      <c r="C33" s="14" t="s">
        <v>129</v>
      </c>
      <c r="D33" s="3" t="s">
        <v>17</v>
      </c>
      <c r="E33" s="4"/>
      <c r="F33" s="4"/>
      <c r="G33" s="3" t="s">
        <v>12</v>
      </c>
      <c r="H33" s="3" t="s">
        <v>0</v>
      </c>
      <c r="I33" s="4">
        <v>12</v>
      </c>
      <c r="J33" s="4"/>
      <c r="K33" s="4"/>
      <c r="L33" s="4"/>
      <c r="M33" s="4"/>
      <c r="N33" s="4"/>
      <c r="O33" s="4"/>
      <c r="P33" s="1"/>
    </row>
    <row r="34" spans="1:16" ht="24" x14ac:dyDescent="0.2">
      <c r="A34" s="3" t="s">
        <v>105</v>
      </c>
      <c r="B34" s="7" t="s">
        <v>73</v>
      </c>
      <c r="C34" s="14" t="s">
        <v>127</v>
      </c>
      <c r="D34" s="3" t="s">
        <v>40</v>
      </c>
      <c r="E34" s="4">
        <v>1890</v>
      </c>
      <c r="F34" s="4">
        <v>1953</v>
      </c>
      <c r="G34" s="2" t="s">
        <v>9</v>
      </c>
      <c r="H34" s="3" t="s">
        <v>0</v>
      </c>
      <c r="I34" s="4">
        <v>231</v>
      </c>
      <c r="J34" s="4"/>
      <c r="K34" s="4"/>
      <c r="L34" s="4"/>
      <c r="M34" s="4"/>
      <c r="N34" s="4"/>
      <c r="O34" s="4"/>
      <c r="P34" s="1"/>
    </row>
    <row r="35" spans="1:16" ht="36.950000000000003" customHeight="1" x14ac:dyDescent="0.2">
      <c r="A35" s="3" t="s">
        <v>105</v>
      </c>
      <c r="B35" s="3" t="s">
        <v>75</v>
      </c>
      <c r="C35" s="14" t="s">
        <v>112</v>
      </c>
      <c r="D35" s="11" t="s">
        <v>18</v>
      </c>
      <c r="E35" s="12">
        <v>1913</v>
      </c>
      <c r="F35" s="1">
        <v>2000</v>
      </c>
      <c r="G35" s="3" t="s">
        <v>8</v>
      </c>
      <c r="H35" s="2" t="s">
        <v>0</v>
      </c>
      <c r="I35" s="1">
        <v>46</v>
      </c>
      <c r="J35" s="6"/>
      <c r="K35" s="6"/>
      <c r="L35" s="6" t="s">
        <v>1</v>
      </c>
      <c r="M35" s="6"/>
      <c r="N35" s="6"/>
      <c r="O35" s="6"/>
      <c r="P35" s="1"/>
    </row>
    <row r="36" spans="1:16" ht="24" x14ac:dyDescent="0.2">
      <c r="A36" s="3" t="s">
        <v>105</v>
      </c>
      <c r="B36" s="3" t="s">
        <v>56</v>
      </c>
      <c r="C36" s="14" t="s">
        <v>152</v>
      </c>
      <c r="D36" s="3" t="s">
        <v>99</v>
      </c>
      <c r="E36" s="4">
        <v>1880</v>
      </c>
      <c r="F36" s="4">
        <v>1920</v>
      </c>
      <c r="G36" s="2" t="s">
        <v>10</v>
      </c>
      <c r="H36" s="3" t="s">
        <v>0</v>
      </c>
      <c r="I36" s="4">
        <v>1538</v>
      </c>
      <c r="J36" s="4"/>
      <c r="K36" s="4"/>
      <c r="L36" s="4"/>
      <c r="M36" s="4"/>
      <c r="N36" s="4"/>
      <c r="O36" s="4"/>
      <c r="P36" s="1"/>
    </row>
    <row r="37" spans="1:16" ht="44.25" customHeight="1" x14ac:dyDescent="0.2">
      <c r="A37" s="3" t="s">
        <v>105</v>
      </c>
      <c r="B37" s="3" t="s">
        <v>147</v>
      </c>
      <c r="C37" s="14" t="s">
        <v>128</v>
      </c>
      <c r="D37" s="3" t="s">
        <v>100</v>
      </c>
      <c r="E37" s="4">
        <v>1860</v>
      </c>
      <c r="F37" s="4">
        <v>1968</v>
      </c>
      <c r="G37" s="2" t="s">
        <v>10</v>
      </c>
      <c r="H37" s="2" t="s">
        <v>5</v>
      </c>
      <c r="I37" s="4">
        <v>375</v>
      </c>
      <c r="J37" s="4"/>
      <c r="K37" s="4"/>
      <c r="L37" s="4"/>
      <c r="M37" s="4">
        <v>4</v>
      </c>
      <c r="N37" s="4"/>
      <c r="O37" s="4"/>
      <c r="P37" s="1"/>
    </row>
    <row r="38" spans="1:16" ht="36" customHeight="1" x14ac:dyDescent="0.2">
      <c r="A38" s="3" t="s">
        <v>102</v>
      </c>
      <c r="B38" s="3" t="s">
        <v>76</v>
      </c>
      <c r="C38" s="14" t="s">
        <v>131</v>
      </c>
      <c r="D38" s="3" t="s">
        <v>16</v>
      </c>
      <c r="E38" s="4">
        <v>1910</v>
      </c>
      <c r="F38" s="1">
        <v>1960</v>
      </c>
      <c r="G38" s="2" t="s">
        <v>12</v>
      </c>
      <c r="H38" s="2" t="s">
        <v>0</v>
      </c>
      <c r="I38" s="1">
        <v>10</v>
      </c>
      <c r="P38" s="1"/>
    </row>
    <row r="39" spans="1:16" ht="24" x14ac:dyDescent="0.2">
      <c r="A39" s="3" t="s">
        <v>105</v>
      </c>
      <c r="B39" s="3" t="s">
        <v>57</v>
      </c>
      <c r="C39" s="14" t="s">
        <v>115</v>
      </c>
      <c r="D39" s="3" t="s">
        <v>36</v>
      </c>
      <c r="E39" s="4">
        <v>1931</v>
      </c>
      <c r="F39" s="4">
        <v>2005</v>
      </c>
      <c r="G39" s="2" t="s">
        <v>9</v>
      </c>
      <c r="H39" s="3" t="s">
        <v>84</v>
      </c>
      <c r="I39" s="1">
        <v>2203</v>
      </c>
      <c r="J39" s="4">
        <v>59</v>
      </c>
      <c r="K39" s="4">
        <v>418</v>
      </c>
      <c r="L39" s="4">
        <v>20</v>
      </c>
      <c r="M39" s="4"/>
      <c r="N39" s="4"/>
      <c r="O39" s="4">
        <v>400</v>
      </c>
      <c r="P39" s="1"/>
    </row>
    <row r="40" spans="1:16" ht="36" x14ac:dyDescent="0.2">
      <c r="A40" s="3" t="s">
        <v>102</v>
      </c>
      <c r="B40" s="3" t="s">
        <v>141</v>
      </c>
      <c r="C40" s="14" t="s">
        <v>139</v>
      </c>
      <c r="D40" s="7" t="s">
        <v>20</v>
      </c>
      <c r="E40" s="4"/>
      <c r="F40" s="4"/>
      <c r="G40" s="3"/>
      <c r="H40" s="3" t="s">
        <v>83</v>
      </c>
      <c r="I40" s="4"/>
      <c r="J40" s="4">
        <v>600</v>
      </c>
      <c r="K40" s="4"/>
      <c r="L40" s="4"/>
      <c r="M40" s="4"/>
      <c r="N40" s="4"/>
      <c r="O40" s="4"/>
      <c r="P40" s="1"/>
    </row>
    <row r="41" spans="1:16" ht="24" x14ac:dyDescent="0.2">
      <c r="A41" s="3" t="s">
        <v>105</v>
      </c>
      <c r="B41" s="3" t="s">
        <v>59</v>
      </c>
      <c r="C41" s="14" t="s">
        <v>124</v>
      </c>
      <c r="D41" s="3" t="s">
        <v>44</v>
      </c>
      <c r="E41" s="1">
        <v>1860</v>
      </c>
      <c r="F41" s="1">
        <v>1900</v>
      </c>
      <c r="G41" s="3" t="s">
        <v>14</v>
      </c>
      <c r="H41" s="2" t="s">
        <v>5</v>
      </c>
      <c r="I41" s="1">
        <v>178</v>
      </c>
      <c r="P41" s="1"/>
    </row>
    <row r="42" spans="1:16" ht="12.75" x14ac:dyDescent="0.2">
      <c r="A42" s="3" t="s">
        <v>105</v>
      </c>
      <c r="B42" s="3" t="s">
        <v>65</v>
      </c>
      <c r="C42" s="15" t="s">
        <v>139</v>
      </c>
      <c r="D42" s="3" t="s">
        <v>47</v>
      </c>
      <c r="E42" s="4">
        <v>1950</v>
      </c>
      <c r="F42" s="4">
        <v>1977</v>
      </c>
      <c r="G42" s="3" t="s">
        <v>6</v>
      </c>
      <c r="H42" s="3" t="s">
        <v>82</v>
      </c>
      <c r="I42" s="8">
        <v>104</v>
      </c>
      <c r="J42" s="8"/>
      <c r="K42" s="8"/>
      <c r="L42" s="8"/>
      <c r="M42" s="8"/>
      <c r="N42" s="8"/>
      <c r="O42" s="8"/>
      <c r="P42" s="1"/>
    </row>
    <row r="43" spans="1:16" ht="24" x14ac:dyDescent="0.2">
      <c r="A43" s="3" t="s">
        <v>105</v>
      </c>
      <c r="B43" s="3" t="s">
        <v>63</v>
      </c>
      <c r="C43" s="14" t="s">
        <v>139</v>
      </c>
      <c r="D43" s="3" t="s">
        <v>42</v>
      </c>
      <c r="E43" s="1">
        <v>1909</v>
      </c>
      <c r="F43" s="1">
        <v>1916</v>
      </c>
      <c r="G43" s="2" t="s">
        <v>9</v>
      </c>
      <c r="H43" s="2" t="s">
        <v>5</v>
      </c>
      <c r="I43" s="1">
        <v>195</v>
      </c>
      <c r="P43" s="1"/>
    </row>
    <row r="44" spans="1:16" x14ac:dyDescent="0.2">
      <c r="A44" s="3" t="s">
        <v>102</v>
      </c>
      <c r="B44" s="3" t="s">
        <v>62</v>
      </c>
      <c r="C44" s="14" t="s">
        <v>114</v>
      </c>
      <c r="D44" s="3" t="s">
        <v>16</v>
      </c>
      <c r="E44" s="4">
        <v>1934</v>
      </c>
      <c r="F44" s="4">
        <v>1940</v>
      </c>
      <c r="G44" s="3" t="s">
        <v>12</v>
      </c>
      <c r="H44" s="3" t="s">
        <v>0</v>
      </c>
      <c r="I44" s="4">
        <v>580</v>
      </c>
      <c r="J44" s="4"/>
      <c r="K44" s="4"/>
      <c r="L44" s="4"/>
      <c r="M44" s="4"/>
      <c r="N44" s="4"/>
      <c r="O44" s="4"/>
      <c r="P44" s="1"/>
    </row>
    <row r="45" spans="1:16" ht="24" x14ac:dyDescent="0.2">
      <c r="A45" s="3" t="s">
        <v>105</v>
      </c>
      <c r="B45" s="3" t="s">
        <v>64</v>
      </c>
      <c r="C45" s="14" t="s">
        <v>110</v>
      </c>
      <c r="D45" s="3" t="s">
        <v>45</v>
      </c>
      <c r="E45" s="4">
        <v>1823</v>
      </c>
      <c r="F45" s="10">
        <v>1948</v>
      </c>
      <c r="G45" s="3" t="s">
        <v>14</v>
      </c>
      <c r="H45" s="3" t="s">
        <v>82</v>
      </c>
      <c r="I45" s="4">
        <v>136</v>
      </c>
      <c r="J45" s="4"/>
      <c r="K45" s="4">
        <v>8</v>
      </c>
      <c r="L45" s="4"/>
      <c r="M45" s="4"/>
      <c r="N45" s="4"/>
      <c r="O45" s="4"/>
      <c r="P45" s="1"/>
    </row>
    <row r="46" spans="1:16" ht="12.75" x14ac:dyDescent="0.2">
      <c r="A46" s="3"/>
      <c r="B46" s="3"/>
      <c r="C46" s="3"/>
      <c r="E46" s="4"/>
      <c r="G46" s="3"/>
      <c r="J46" s="5"/>
      <c r="K46" s="5"/>
      <c r="L46" s="5"/>
      <c r="M46" s="5"/>
      <c r="N46" s="4"/>
      <c r="O46" s="4"/>
    </row>
    <row r="47" spans="1:16" x14ac:dyDescent="0.2">
      <c r="I47" s="1">
        <f>SUM(Tableau2[nbre_photographie])</f>
        <v>37425</v>
      </c>
      <c r="J47" s="1">
        <f>SUM(Tableau2[nbre_plaque_de_verre])</f>
        <v>2673</v>
      </c>
      <c r="K47" s="1">
        <f>SUM(Tableau2[nbre_negatif])</f>
        <v>17112</v>
      </c>
      <c r="L47" s="1">
        <f>SUM(Tableau2[nbre_carte_postale])</f>
        <v>508</v>
      </c>
      <c r="M47" s="1">
        <f>SUM(Tableau2[nbre_daguerrotype])</f>
        <v>8</v>
      </c>
      <c r="N47" s="1">
        <f>SUM(Tableau2[nbre_planches_contact])</f>
        <v>413</v>
      </c>
      <c r="O47" s="1" t="s">
        <v>2</v>
      </c>
    </row>
    <row r="48" spans="1:16" x14ac:dyDescent="0.2">
      <c r="A48" s="3"/>
      <c r="B48" s="3"/>
      <c r="C48" s="3"/>
    </row>
  </sheetData>
  <phoneticPr fontId="0" type="noConversion"/>
  <hyperlinks>
    <hyperlink ref="C38" r:id="rId1" xr:uid="{49C4191F-C662-49C7-8BCC-CAFEA75C5B80}"/>
    <hyperlink ref="C37" r:id="rId2" xr:uid="{368B56CE-4A31-4992-AA28-6C57BFEEED04}"/>
    <hyperlink ref="C5" r:id="rId3" xr:uid="{F7457A3D-1E3A-4697-BE38-B851EA79E805}"/>
    <hyperlink ref="C6" r:id="rId4" xr:uid="{B0A00245-8A6B-42D6-9579-D0CD38B02C88}"/>
    <hyperlink ref="C8" r:id="rId5" xr:uid="{8E7E7E0A-7554-453C-8B29-981C64E6105B}"/>
    <hyperlink ref="C9" r:id="rId6" xr:uid="{CC23174F-FFC7-43EA-843F-1542370D2229}"/>
    <hyperlink ref="C3" r:id="rId7" xr:uid="{497F2104-DEDC-4A4C-AF35-996831021A5F}"/>
    <hyperlink ref="C4" r:id="rId8" xr:uid="{292EDAED-489C-4F4B-B13A-90C1BA6F2EE3}"/>
    <hyperlink ref="C7" r:id="rId9" xr:uid="{63C27630-74B8-4A7D-A7FE-414669F9241B}"/>
    <hyperlink ref="C12" r:id="rId10" xr:uid="{CB48D5B0-B0EF-4EB8-B709-F4882D986659}"/>
    <hyperlink ref="C13" r:id="rId11" xr:uid="{E51F2ED5-3E60-490F-AE64-FA225E3C286A}"/>
    <hyperlink ref="C14" r:id="rId12" xr:uid="{52F35596-472A-4F64-B2A3-A69F3A7448A9}"/>
    <hyperlink ref="C15" r:id="rId13" xr:uid="{CF653DE9-A779-45A1-846A-3E9B06EFEFAA}"/>
    <hyperlink ref="C17" r:id="rId14" xr:uid="{7CC0E87A-FF6D-40E3-87BA-D9A017274DC1}"/>
    <hyperlink ref="C18" r:id="rId15" xr:uid="{893855B8-8F07-4C98-85E4-E1EB1C2E861B}"/>
    <hyperlink ref="C11" r:id="rId16" xr:uid="{DD41AE22-821F-4866-BAED-845D29367920}"/>
    <hyperlink ref="C10" r:id="rId17" xr:uid="{F43807D2-C0C4-4C37-A2AD-84A8EC027380}"/>
    <hyperlink ref="C20" r:id="rId18" xr:uid="{8B552C56-4F13-48F0-AE42-339456231A85}"/>
    <hyperlink ref="C21" r:id="rId19" xr:uid="{83F525B8-ED44-4003-AC6D-7A343B3EF3B9}"/>
    <hyperlink ref="C22" r:id="rId20" xr:uid="{538F2286-7BEB-46C5-8D80-5A290498197E}"/>
    <hyperlink ref="C23" r:id="rId21" xr:uid="{32952EE1-9541-4EA1-8DD2-1E8C599820FF}"/>
    <hyperlink ref="C24" r:id="rId22" xr:uid="{C9DC4E34-BDE5-42AA-902C-3DF7F1DAD291}"/>
    <hyperlink ref="C25" r:id="rId23" xr:uid="{44EE6A44-054C-4449-87AD-50CE37F50315}"/>
    <hyperlink ref="C19" r:id="rId24" xr:uid="{DED6D768-4960-454B-822F-53ECF77047C5}"/>
    <hyperlink ref="C28" r:id="rId25" xr:uid="{ADE86C5B-4A9E-4A7F-9034-7F7835B62C11}"/>
    <hyperlink ref="C29" r:id="rId26" xr:uid="{B15D8284-0C9A-439B-B9DC-9343F267732A}"/>
    <hyperlink ref="C30" r:id="rId27" xr:uid="{D88F62A5-5768-4EDF-A602-4715F8B2BCC5}"/>
    <hyperlink ref="C31" r:id="rId28" xr:uid="{9E822893-859B-4859-8D32-ED5946C29999}"/>
    <hyperlink ref="C33" r:id="rId29" xr:uid="{69C279EF-49AC-43F7-96DC-D78E7C872C1A}"/>
    <hyperlink ref="C34" r:id="rId30" xr:uid="{AD41E5C5-0FBA-4632-BE79-633E1D649D75}"/>
    <hyperlink ref="C35" r:id="rId31" xr:uid="{4AEFB509-19E9-4C2F-9DB2-AEFD0ADAC382}"/>
    <hyperlink ref="C39" r:id="rId32" xr:uid="{4C15B314-0E26-4908-B482-320BB9DF1AAD}"/>
    <hyperlink ref="C41" r:id="rId33" xr:uid="{41BE9D0D-20AA-4171-8B99-ED514974894B}"/>
    <hyperlink ref="C44" r:id="rId34" xr:uid="{2BC55F58-3870-4931-8CCA-876931977133}"/>
    <hyperlink ref="C45" r:id="rId35" xr:uid="{AB004056-21BD-483A-8165-041FCF51D5AE}"/>
    <hyperlink ref="C40" r:id="rId36" xr:uid="{FCCE604B-34F5-4304-A26F-9C44AAA63B17}"/>
    <hyperlink ref="C26" r:id="rId37" xr:uid="{60887617-4E3B-46EB-9AE1-7C360CFA6FA2}"/>
    <hyperlink ref="C27" r:id="rId38" xr:uid="{95E5612E-3308-42C3-B9D6-E4EA475B2526}"/>
    <hyperlink ref="C32" r:id="rId39" xr:uid="{457C5E72-A6DB-443B-A5F5-E5429573BB54}"/>
    <hyperlink ref="C36" r:id="rId40" xr:uid="{F46C8F82-3437-4A2A-A7AF-663A8A709A7D}"/>
    <hyperlink ref="C42" r:id="rId41" xr:uid="{11AE22EC-C7BD-40E4-BAD7-551F8FF0DBE6}"/>
  </hyperlinks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42"/>
  <headerFooter alignWithMargins="0">
    <oddHeader>&amp;A</oddHeader>
    <oddFooter>Page &amp;P</oddFooter>
  </headerFooter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2025-09-08T13:35:38Z</dcterms:modified>
</cp:coreProperties>
</file>